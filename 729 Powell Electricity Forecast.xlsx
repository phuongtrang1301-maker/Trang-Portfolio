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ssumptions" sheetId="2" r:id="rId5"/>
    <sheet state="visible" name="Monthly Budget" sheetId="3" r:id="rId6"/>
    <sheet state="visible" name="Billing Period Forecast" sheetId="4" r:id="rId7"/>
  </sheets>
  <definedNames/>
  <calcPr/>
  <extLst>
    <ext uri="GoogleSheetsCustomDataVersion2">
      <go:sheetsCustomData xmlns:go="http://customooxmlschemas.google.com/" r:id="rId8" roundtripDataChecksum="TJT9pSLRE5hA3/w+MXa3NYooRL0bo9TOplaEM9PpiHA="/>
    </ext>
  </extLst>
</workbook>
</file>

<file path=xl/sharedStrings.xml><?xml version="1.0" encoding="utf-8"?>
<sst xmlns="http://schemas.openxmlformats.org/spreadsheetml/2006/main" count="131" uniqueCount="105">
  <si>
    <t>⚡  Powell 2026 Electricity Forecast – Annual Summary</t>
  </si>
  <si>
    <t>All values pulled live from Billing Period Forecast sheet via formulas.</t>
  </si>
  <si>
    <t>Annual kWh</t>
  </si>
  <si>
    <t>Annual kW (avg)</t>
  </si>
  <si>
    <t>Total Energy $</t>
  </si>
  <si>
    <t>Total Demand $</t>
  </si>
  <si>
    <t>Total Pretax $</t>
  </si>
  <si>
    <t>Total Bill $</t>
  </si>
  <si>
    <t>← Billing Period Forecast</t>
  </si>
  <si>
    <t>Period-by-Period Forecast Summary</t>
  </si>
  <si>
    <t>Period</t>
  </si>
  <si>
    <t>Start</t>
  </si>
  <si>
    <t>End</t>
  </si>
  <si>
    <t>kWh Pred</t>
  </si>
  <si>
    <t>kW Pred</t>
  </si>
  <si>
    <t>Total Bill ($)</t>
  </si>
  <si>
    <t>ANNUAL TOTAL</t>
  </si>
  <si>
    <t>⚡  Powell 2026 Electricity Forecast – Assumptions</t>
  </si>
  <si>
    <t>Blue cells = editable inputs.  All forecast sheets pull from here via formulas.</t>
  </si>
  <si>
    <t>A.  2026 Rate Assumptions  (from 2025 actuals – edit if rates change)</t>
  </si>
  <si>
    <t>Parameter</t>
  </si>
  <si>
    <t>Value</t>
  </si>
  <si>
    <t>Unit</t>
  </si>
  <si>
    <t>Notes</t>
  </si>
  <si>
    <t>Energy Rate</t>
  </si>
  <si>
    <t>$/kWh</t>
  </si>
  <si>
    <t>2025 median energy subtotal / kWh</t>
  </si>
  <si>
    <t>Demand Rate</t>
  </si>
  <si>
    <t>$/kW</t>
  </si>
  <si>
    <t>2025 median demand subtotal / kW</t>
  </si>
  <si>
    <t>Basic Rate</t>
  </si>
  <si>
    <t>$/day</t>
  </si>
  <si>
    <t>2025 median basic charge / day</t>
  </si>
  <si>
    <t>GST Rate</t>
  </si>
  <si>
    <t>%</t>
  </si>
  <si>
    <t>Applied to pretax total</t>
  </si>
  <si>
    <t>Transformer Charge</t>
  </si>
  <si>
    <t>$</t>
  </si>
  <si>
    <t>Carry-forward from 2025 template (zero)</t>
  </si>
  <si>
    <t>B.  kWh Regression Coefficients  (OLS – edit to update model)</t>
  </si>
  <si>
    <t>Coefficient</t>
  </si>
  <si>
    <t>Std Err</t>
  </si>
  <si>
    <t>p-value</t>
  </si>
  <si>
    <t>Intercept (β₀)</t>
  </si>
  <si>
    <t>Days (β₁)</t>
  </si>
  <si>
    <t>Production kg (β₂)</t>
  </si>
  <si>
    <t>Summer flag (β₃)</t>
  </si>
  <si>
    <t>C.  kW Seasonal Model  (edit to update demand forecast)</t>
  </si>
  <si>
    <t>Non-Summer avg kW</t>
  </si>
  <si>
    <t>kW</t>
  </si>
  <si>
    <t>Mean kW from non-summer billing periods</t>
  </si>
  <si>
    <t>Summer uplift kW</t>
  </si>
  <si>
    <t>Additional kW in summer (May–Aug)</t>
  </si>
  <si>
    <t>2026 Monthly Production Budget</t>
  </si>
  <si>
    <t>Source: Quantity 2026.xlsx – Grand Total row. Blue = editable budget inputs.</t>
  </si>
  <si>
    <t>Month</t>
  </si>
  <si>
    <t>Month #</t>
  </si>
  <si>
    <t>Production (kg)</t>
  </si>
  <si>
    <t>Days in Month</t>
  </si>
  <si>
    <t>kg/Day</t>
  </si>
  <si>
    <t>Summer?</t>
  </si>
  <si>
    <t>JAN</t>
  </si>
  <si>
    <t>No</t>
  </si>
  <si>
    <t>FEB</t>
  </si>
  <si>
    <t>MAR</t>
  </si>
  <si>
    <t>APR</t>
  </si>
  <si>
    <t>MAY</t>
  </si>
  <si>
    <t>Yes</t>
  </si>
  <si>
    <t>JUN</t>
  </si>
  <si>
    <t>JUL</t>
  </si>
  <si>
    <t>AUG</t>
  </si>
  <si>
    <t>SEP</t>
  </si>
  <si>
    <t>OCT</t>
  </si>
  <si>
    <t>NOV</t>
  </si>
  <si>
    <t>DEC</t>
  </si>
  <si>
    <t>2026 Billing Period Electricity Forecast</t>
  </si>
  <si>
    <t>Green text = pulls from Assumptions sheet  |  Blue text = hardcoded input  |  Black text = formula  |  🟡 = Summer period (May–Aug)</t>
  </si>
  <si>
    <t>Period Info</t>
  </si>
  <si>
    <t>Regression Inputs</t>
  </si>
  <si>
    <t>Usage Forecast</t>
  </si>
  <si>
    <t>Bill Components ($)</t>
  </si>
  <si>
    <t>Pretax ($)</t>
  </si>
  <si>
    <t>GST ($)</t>
  </si>
  <si>
    <t>Check</t>
  </si>
  <si>
    <t>Period #</t>
  </si>
  <si>
    <t>Start Date</t>
  </si>
  <si>
    <t>End Date</t>
  </si>
  <si>
    <t>Days</t>
  </si>
  <si>
    <t>Summer</t>
  </si>
  <si>
    <t>Prorated Prod (kg)</t>
  </si>
  <si>
    <t>kWh Predicted
(Regression)</t>
  </si>
  <si>
    <t>kW Predicted
(Seasonal)</t>
  </si>
  <si>
    <t>Energy Rate
($/kWh)</t>
  </si>
  <si>
    <t>Demand Rate
($/kW)</t>
  </si>
  <si>
    <t>Basic ($)</t>
  </si>
  <si>
    <t>Energy ($)</t>
  </si>
  <si>
    <t>Demand ($)</t>
  </si>
  <si>
    <t>Rate Rider ($)</t>
  </si>
  <si>
    <t>Credit ($)</t>
  </si>
  <si>
    <t>Rate Rider
(hardcoded)</t>
  </si>
  <si>
    <t>Credit
(hardcoded)</t>
  </si>
  <si>
    <t>Actual Bill</t>
  </si>
  <si>
    <t>Variance</t>
  </si>
  <si>
    <t>Variance (%)</t>
  </si>
  <si>
    <t>ANNUAL TOTAL /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</si>
</sst>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MMM D, YYYY"/>
    <numFmt numFmtId="166" formatCode="#,##0.0000"/>
    <numFmt numFmtId="167" formatCode="0.000"/>
  </numFmts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404040"/>
      <name val="Arial"/>
    </font>
    <font>
      <sz val="9.0"/>
      <color rgb="FF404040"/>
      <name val="Arial"/>
    </font>
    <font>
      <b/>
      <sz val="14.0"/>
      <color rgb="FF1F3864"/>
      <name val="Arial"/>
    </font>
    <font>
      <i/>
      <sz val="8.0"/>
      <color rgb="FF008000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sz val="10.0"/>
      <color rgb="FF008000"/>
      <name val="Arial"/>
    </font>
    <font>
      <sz val="10.0"/>
      <color rgb="FF000000"/>
      <name val="Arial"/>
    </font>
    <font>
      <sz val="10.0"/>
      <color rgb="FF0000FF"/>
      <name val="Arial"/>
    </font>
    <font>
      <sz val="10.0"/>
      <color rgb="FF505050"/>
      <name val="Arial"/>
    </font>
    <font>
      <b/>
      <sz val="10.0"/>
      <color rgb="FF375623"/>
      <name val="Arial"/>
    </font>
    <font>
      <b/>
      <sz val="8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808080"/>
        <bgColor rgb="FF80808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3" fontId="4" numFmtId="0" xfId="0" applyAlignment="1" applyBorder="1" applyFont="1">
      <alignment horizontal="center" shrinkToFit="0" vertical="center" wrapText="1"/>
    </xf>
    <xf borderId="4" fillId="4" fontId="5" numFmtId="3" xfId="0" applyAlignment="1" applyBorder="1" applyFill="1" applyFont="1" applyNumberFormat="1">
      <alignment horizontal="center" shrinkToFit="0" vertical="center" wrapText="1"/>
    </xf>
    <xf borderId="4" fillId="4" fontId="5" numFmtId="4" xfId="0" applyAlignment="1" applyBorder="1" applyFont="1" applyNumberFormat="1">
      <alignment horizontal="center" shrinkToFit="0" vertical="center" wrapText="1"/>
    </xf>
    <xf borderId="4" fillId="4" fontId="5" numFmtId="164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6" fontId="9" numFmtId="3" xfId="0" applyAlignment="1" applyBorder="1" applyFill="1" applyFont="1" applyNumberFormat="1">
      <alignment horizontal="center" shrinkToFit="0" vertical="center" wrapText="1"/>
    </xf>
    <xf borderId="4" fillId="6" fontId="9" numFmtId="165" xfId="0" applyAlignment="1" applyBorder="1" applyFont="1" applyNumberFormat="1">
      <alignment horizontal="center" shrinkToFit="0" vertical="center" wrapText="1"/>
    </xf>
    <xf borderId="4" fillId="6" fontId="9" numFmtId="3" xfId="0" applyAlignment="1" applyBorder="1" applyFont="1" applyNumberFormat="1">
      <alignment horizontal="right" vertical="center"/>
    </xf>
    <xf borderId="4" fillId="6" fontId="9" numFmtId="4" xfId="0" applyAlignment="1" applyBorder="1" applyFont="1" applyNumberFormat="1">
      <alignment horizontal="right" vertical="center"/>
    </xf>
    <xf borderId="4" fillId="6" fontId="9" numFmtId="164" xfId="0" applyAlignment="1" applyBorder="1" applyFont="1" applyNumberFormat="1">
      <alignment horizontal="right" vertical="center"/>
    </xf>
    <xf borderId="4" fillId="3" fontId="9" numFmtId="3" xfId="0" applyAlignment="1" applyBorder="1" applyFont="1" applyNumberFormat="1">
      <alignment horizontal="center" shrinkToFit="0" vertical="center" wrapText="1"/>
    </xf>
    <xf borderId="4" fillId="3" fontId="9" numFmtId="165" xfId="0" applyAlignment="1" applyBorder="1" applyFont="1" applyNumberFormat="1">
      <alignment horizontal="center" shrinkToFit="0" vertical="center" wrapText="1"/>
    </xf>
    <xf borderId="4" fillId="3" fontId="9" numFmtId="3" xfId="0" applyAlignment="1" applyBorder="1" applyFont="1" applyNumberFormat="1">
      <alignment horizontal="right" vertical="center"/>
    </xf>
    <xf borderId="4" fillId="3" fontId="9" numFmtId="4" xfId="0" applyAlignment="1" applyBorder="1" applyFont="1" applyNumberFormat="1">
      <alignment horizontal="right" vertical="center"/>
    </xf>
    <xf borderId="4" fillId="3" fontId="9" numFmtId="164" xfId="0" applyAlignment="1" applyBorder="1" applyFont="1" applyNumberFormat="1">
      <alignment horizontal="right" vertical="center"/>
    </xf>
    <xf borderId="4" fillId="7" fontId="9" numFmtId="3" xfId="0" applyAlignment="1" applyBorder="1" applyFill="1" applyFont="1" applyNumberFormat="1">
      <alignment horizontal="center" shrinkToFit="0" vertical="center" wrapText="1"/>
    </xf>
    <xf borderId="4" fillId="7" fontId="9" numFmtId="165" xfId="0" applyAlignment="1" applyBorder="1" applyFont="1" applyNumberFormat="1">
      <alignment horizontal="center" shrinkToFit="0" vertical="center" wrapText="1"/>
    </xf>
    <xf borderId="4" fillId="7" fontId="9" numFmtId="3" xfId="0" applyAlignment="1" applyBorder="1" applyFont="1" applyNumberFormat="1">
      <alignment horizontal="right" vertical="center"/>
    </xf>
    <xf borderId="4" fillId="7" fontId="9" numFmtId="4" xfId="0" applyAlignment="1" applyBorder="1" applyFont="1" applyNumberFormat="1">
      <alignment horizontal="right" vertical="center"/>
    </xf>
    <xf borderId="4" fillId="7" fontId="9" numFmtId="164" xfId="0" applyAlignment="1" applyBorder="1" applyFont="1" applyNumberFormat="1">
      <alignment horizontal="right" vertical="center"/>
    </xf>
    <xf borderId="5" fillId="5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7" numFmtId="4" xfId="0" applyAlignment="1" applyBorder="1" applyFont="1" applyNumberFormat="1">
      <alignment horizontal="right" vertical="center"/>
    </xf>
    <xf borderId="4" fillId="5" fontId="7" numFmtId="164" xfId="0" applyAlignment="1" applyBorder="1" applyFont="1" applyNumberFormat="1">
      <alignment horizontal="right" vertical="center"/>
    </xf>
    <xf borderId="1" fillId="5" fontId="7" numFmtId="0" xfId="0" applyAlignment="1" applyBorder="1" applyFont="1">
      <alignment horizontal="left" vertical="center"/>
    </xf>
    <xf borderId="4" fillId="6" fontId="10" numFmtId="0" xfId="0" applyAlignment="1" applyBorder="1" applyFont="1">
      <alignment horizontal="left" vertical="center"/>
    </xf>
    <xf borderId="4" fillId="6" fontId="11" numFmtId="166" xfId="0" applyAlignment="1" applyBorder="1" applyFont="1" applyNumberFormat="1">
      <alignment horizontal="right" vertical="center"/>
    </xf>
    <xf borderId="4" fillId="6" fontId="10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left" vertical="center"/>
    </xf>
    <xf borderId="4" fillId="3" fontId="10" numFmtId="0" xfId="0" applyAlignment="1" applyBorder="1" applyFont="1">
      <alignment horizontal="left" vertical="center"/>
    </xf>
    <xf borderId="4" fillId="3" fontId="11" numFmtId="166" xfId="0" applyAlignment="1" applyBorder="1" applyFont="1" applyNumberFormat="1">
      <alignment horizontal="right" vertical="center"/>
    </xf>
    <xf borderId="4" fillId="3" fontId="10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left" vertical="center"/>
    </xf>
    <xf borderId="4" fillId="6" fontId="10" numFmtId="4" xfId="0" applyAlignment="1" applyBorder="1" applyFont="1" applyNumberFormat="1">
      <alignment horizontal="right" vertical="center"/>
    </xf>
    <xf borderId="4" fillId="6" fontId="10" numFmtId="167" xfId="0" applyAlignment="1" applyBorder="1" applyFont="1" applyNumberFormat="1">
      <alignment horizontal="right" vertical="center"/>
    </xf>
    <xf borderId="4" fillId="3" fontId="10" numFmtId="4" xfId="0" applyAlignment="1" applyBorder="1" applyFont="1" applyNumberFormat="1">
      <alignment horizontal="right" vertical="center"/>
    </xf>
    <xf borderId="4" fillId="3" fontId="13" numFmtId="167" xfId="0" applyAlignment="1" applyBorder="1" applyFont="1" applyNumberFormat="1">
      <alignment horizontal="right" vertical="center"/>
    </xf>
    <xf borderId="4" fillId="6" fontId="13" numFmtId="167" xfId="0" applyAlignment="1" applyBorder="1" applyFont="1" applyNumberFormat="1">
      <alignment horizontal="right" vertical="center"/>
    </xf>
    <xf borderId="4" fillId="6" fontId="10" numFmtId="3" xfId="0" applyAlignment="1" applyBorder="1" applyFont="1" applyNumberFormat="1">
      <alignment horizontal="center" shrinkToFit="0" vertical="center" wrapText="1"/>
    </xf>
    <xf borderId="4" fillId="6" fontId="11" numFmtId="3" xfId="0" applyAlignment="1" applyBorder="1" applyFont="1" applyNumberFormat="1">
      <alignment horizontal="right" vertical="center"/>
    </xf>
    <xf borderId="4" fillId="6" fontId="11" numFmtId="3" xfId="0" applyAlignment="1" applyBorder="1" applyFont="1" applyNumberFormat="1">
      <alignment horizontal="center" shrinkToFit="0" vertical="center" wrapText="1"/>
    </xf>
    <xf borderId="4" fillId="3" fontId="10" numFmtId="3" xfId="0" applyAlignment="1" applyBorder="1" applyFont="1" applyNumberFormat="1">
      <alignment horizontal="center" shrinkToFit="0" vertical="center" wrapText="1"/>
    </xf>
    <xf borderId="4" fillId="3" fontId="11" numFmtId="3" xfId="0" applyAlignment="1" applyBorder="1" applyFont="1" applyNumberFormat="1">
      <alignment horizontal="right" vertical="center"/>
    </xf>
    <xf borderId="4" fillId="3" fontId="11" numFmtId="3" xfId="0" applyAlignment="1" applyBorder="1" applyFont="1" applyNumberFormat="1">
      <alignment horizontal="center" shrinkToFit="0" vertical="center" wrapText="1"/>
    </xf>
    <xf borderId="4" fillId="7" fontId="10" numFmtId="0" xfId="0" applyAlignment="1" applyBorder="1" applyFont="1">
      <alignment horizontal="center" shrinkToFit="0" vertical="center" wrapText="1"/>
    </xf>
    <xf borderId="4" fillId="7" fontId="10" numFmtId="3" xfId="0" applyAlignment="1" applyBorder="1" applyFont="1" applyNumberFormat="1">
      <alignment horizontal="center" shrinkToFit="0" vertical="center" wrapText="1"/>
    </xf>
    <xf borderId="4" fillId="7" fontId="11" numFmtId="3" xfId="0" applyAlignment="1" applyBorder="1" applyFont="1" applyNumberFormat="1">
      <alignment horizontal="right" vertical="center"/>
    </xf>
    <xf borderId="4" fillId="7" fontId="11" numFmtId="3" xfId="0" applyAlignment="1" applyBorder="1" applyFont="1" applyNumberFormat="1">
      <alignment horizontal="center" shrinkToFit="0" vertical="center" wrapText="1"/>
    </xf>
    <xf borderId="4" fillId="7" fontId="10" numFmtId="4" xfId="0" applyAlignment="1" applyBorder="1" applyFont="1" applyNumberFormat="1">
      <alignment horizontal="right" vertical="center"/>
    </xf>
    <xf borderId="4" fillId="5" fontId="7" numFmtId="3" xfId="0" applyAlignment="1" applyBorder="1" applyFont="1" applyNumberFormat="1">
      <alignment horizontal="right" vertical="center"/>
    </xf>
    <xf borderId="4" fillId="5" fontId="7" numFmtId="0" xfId="0" applyBorder="1" applyFont="1"/>
    <xf borderId="0" fillId="2" fontId="1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left" vertical="center"/>
    </xf>
    <xf borderId="8" fillId="2" fontId="7" numFmtId="0" xfId="0" applyAlignment="1" applyBorder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0" fillId="8" fontId="7" numFmtId="0" xfId="0" applyAlignment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0" fillId="2" fontId="14" numFmtId="0" xfId="0" applyAlignment="1" applyFont="1">
      <alignment horizontal="center" readingOrder="0" shrinkToFit="0" vertical="center" wrapText="1"/>
    </xf>
    <xf borderId="4" fillId="6" fontId="11" numFmtId="165" xfId="0" applyAlignment="1" applyBorder="1" applyFont="1" applyNumberFormat="1">
      <alignment horizontal="center" shrinkToFit="0" vertical="center" wrapText="1"/>
    </xf>
    <xf borderId="4" fillId="6" fontId="9" numFmtId="166" xfId="0" applyAlignment="1" applyBorder="1" applyFont="1" applyNumberFormat="1">
      <alignment horizontal="right" vertical="center"/>
    </xf>
    <xf borderId="4" fillId="6" fontId="10" numFmtId="164" xfId="0" applyAlignment="1" applyBorder="1" applyFont="1" applyNumberFormat="1">
      <alignment horizontal="right" vertical="center"/>
    </xf>
    <xf borderId="4" fillId="6" fontId="11" numFmtId="164" xfId="0" applyAlignment="1" applyBorder="1" applyFont="1" applyNumberFormat="1">
      <alignment horizontal="right" vertical="center"/>
    </xf>
    <xf borderId="0" fillId="0" fontId="10" numFmtId="164" xfId="0" applyAlignment="1" applyFont="1" applyNumberFormat="1">
      <alignment horizontal="right" readingOrder="0" shrinkToFit="0" vertical="center" wrapText="0"/>
    </xf>
    <xf borderId="0" fillId="0" fontId="10" numFmtId="9" xfId="0" applyAlignment="1" applyFont="1" applyNumberFormat="1">
      <alignment horizontal="right" readingOrder="0" shrinkToFit="0" vertical="center" wrapText="0"/>
    </xf>
    <xf borderId="4" fillId="3" fontId="11" numFmtId="165" xfId="0" applyAlignment="1" applyBorder="1" applyFont="1" applyNumberFormat="1">
      <alignment horizontal="center" shrinkToFit="0" vertical="center" wrapText="1"/>
    </xf>
    <xf borderId="4" fillId="3" fontId="9" numFmtId="166" xfId="0" applyAlignment="1" applyBorder="1" applyFont="1" applyNumberFormat="1">
      <alignment horizontal="right" vertical="center"/>
    </xf>
    <xf borderId="4" fillId="3" fontId="10" numFmtId="164" xfId="0" applyAlignment="1" applyBorder="1" applyFont="1" applyNumberFormat="1">
      <alignment horizontal="right" vertical="center"/>
    </xf>
    <xf borderId="4" fillId="3" fontId="11" numFmtId="164" xfId="0" applyAlignment="1" applyBorder="1" applyFont="1" applyNumberFormat="1">
      <alignment horizontal="right" vertical="center"/>
    </xf>
    <xf borderId="0" fillId="6" fontId="11" numFmtId="164" xfId="0" applyAlignment="1" applyFont="1" applyNumberFormat="1">
      <alignment horizontal="right" vertical="center"/>
    </xf>
    <xf borderId="0" fillId="3" fontId="11" numFmtId="164" xfId="0" applyAlignment="1" applyFont="1" applyNumberFormat="1">
      <alignment horizontal="right" vertical="center"/>
    </xf>
    <xf borderId="4" fillId="7" fontId="11" numFmtId="165" xfId="0" applyAlignment="1" applyBorder="1" applyFont="1" applyNumberFormat="1">
      <alignment horizontal="center" shrinkToFit="0" vertical="center" wrapText="1"/>
    </xf>
    <xf borderId="4" fillId="7" fontId="9" numFmtId="166" xfId="0" applyAlignment="1" applyBorder="1" applyFont="1" applyNumberFormat="1">
      <alignment horizontal="right" vertical="center"/>
    </xf>
    <xf borderId="4" fillId="7" fontId="10" numFmtId="164" xfId="0" applyAlignment="1" applyBorder="1" applyFont="1" applyNumberFormat="1">
      <alignment horizontal="right" vertical="center"/>
    </xf>
    <xf borderId="4" fillId="7" fontId="11" numFmtId="164" xfId="0" applyAlignment="1" applyBorder="1" applyFont="1" applyNumberFormat="1">
      <alignment horizontal="right" vertical="center"/>
    </xf>
    <xf borderId="0" fillId="7" fontId="11" numFmtId="164" xfId="0" applyAlignment="1" applyFont="1" applyNumberFormat="1">
      <alignment horizontal="right" vertical="center"/>
    </xf>
    <xf borderId="0" fillId="5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3" width="14.0"/>
    <col customWidth="1" min="4" max="4" width="16.0"/>
    <col customWidth="1" min="5" max="5" width="14.0"/>
    <col customWidth="1" min="6" max="6" width="16.0"/>
    <col customWidth="1" min="7" max="26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 ht="13.5" customHeight="1">
      <c r="A2" s="4" t="s">
        <v>1</v>
      </c>
      <c r="B2" s="2"/>
      <c r="C2" s="2"/>
      <c r="D2" s="2"/>
      <c r="E2" s="2"/>
      <c r="F2" s="3"/>
    </row>
    <row r="4" ht="19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ht="33.75" customHeight="1">
      <c r="A5" s="6">
        <f>'Billing Period Forecast'!G17</f>
        <v>1407524.068</v>
      </c>
      <c r="B5" s="7">
        <f>'Billing Period Forecast'!H17</f>
        <v>290.6315333</v>
      </c>
      <c r="C5" s="8">
        <f>'Billing Period Forecast'!L17</f>
        <v>95007.87462</v>
      </c>
      <c r="D5" s="8">
        <f>'Billing Period Forecast'!M17</f>
        <v>47954.203</v>
      </c>
      <c r="E5" s="8">
        <f>'Billing Period Forecast'!P17</f>
        <v>135009.3135</v>
      </c>
      <c r="F5" s="8">
        <f>'Billing Period Forecast'!R17</f>
        <v>141759.7791</v>
      </c>
    </row>
    <row r="6" ht="18.0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  <c r="F6" s="9" t="s">
        <v>8</v>
      </c>
    </row>
    <row r="8" ht="19.5" customHeight="1">
      <c r="A8" s="10" t="s">
        <v>9</v>
      </c>
      <c r="B8" s="2"/>
      <c r="C8" s="2"/>
      <c r="D8" s="2"/>
      <c r="E8" s="2"/>
      <c r="F8" s="3"/>
    </row>
    <row r="9" ht="18.0" customHeight="1">
      <c r="A9" s="11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</row>
    <row r="10" ht="16.5" customHeight="1">
      <c r="A10" s="12">
        <f>'Billing Period Forecast'!A5</f>
        <v>1</v>
      </c>
      <c r="B10" s="13">
        <f>'Billing Period Forecast'!B5</f>
        <v>46022</v>
      </c>
      <c r="C10" s="13">
        <f>'Billing Period Forecast'!C5</f>
        <v>46051</v>
      </c>
      <c r="D10" s="14">
        <f>'Billing Period Forecast'!G5</f>
        <v>106099.2273</v>
      </c>
      <c r="E10" s="15">
        <f>'Billing Period Forecast'!H5</f>
        <v>281.6473</v>
      </c>
      <c r="F10" s="16">
        <f>'Billing Period Forecast'!R5</f>
        <v>10566.59492</v>
      </c>
    </row>
    <row r="11" ht="16.5" customHeight="1">
      <c r="A11" s="17">
        <f>'Billing Period Forecast'!A6</f>
        <v>2</v>
      </c>
      <c r="B11" s="18">
        <f>'Billing Period Forecast'!B6</f>
        <v>46052</v>
      </c>
      <c r="C11" s="18">
        <f>'Billing Period Forecast'!C6</f>
        <v>46083</v>
      </c>
      <c r="D11" s="19">
        <f>'Billing Period Forecast'!G6</f>
        <v>126652.3038</v>
      </c>
      <c r="E11" s="20">
        <f>'Billing Period Forecast'!H6</f>
        <v>281.6473</v>
      </c>
      <c r="F11" s="21">
        <f>'Billing Period Forecast'!R6</f>
        <v>11972.06486</v>
      </c>
    </row>
    <row r="12" ht="16.5" customHeight="1">
      <c r="A12" s="12">
        <f>'Billing Period Forecast'!A7</f>
        <v>3</v>
      </c>
      <c r="B12" s="13">
        <f>'Billing Period Forecast'!B7</f>
        <v>46084</v>
      </c>
      <c r="C12" s="13">
        <f>'Billing Period Forecast'!C7</f>
        <v>46111</v>
      </c>
      <c r="D12" s="14">
        <f>'Billing Period Forecast'!G7</f>
        <v>104095.3163</v>
      </c>
      <c r="E12" s="15">
        <f>'Billing Period Forecast'!H7</f>
        <v>281.6473</v>
      </c>
      <c r="F12" s="16">
        <f>'Billing Period Forecast'!R7</f>
        <v>10500.84481</v>
      </c>
    </row>
    <row r="13" ht="16.5" customHeight="1">
      <c r="A13" s="17">
        <f>'Billing Period Forecast'!A8</f>
        <v>4</v>
      </c>
      <c r="B13" s="18">
        <f>'Billing Period Forecast'!B8</f>
        <v>46112</v>
      </c>
      <c r="C13" s="18">
        <f>'Billing Period Forecast'!C8</f>
        <v>46141</v>
      </c>
      <c r="D13" s="19">
        <f>'Billing Period Forecast'!G8</f>
        <v>117392.7518</v>
      </c>
      <c r="E13" s="20">
        <f>'Billing Period Forecast'!H8</f>
        <v>281.6473</v>
      </c>
      <c r="F13" s="21">
        <f>'Billing Period Forecast'!R8</f>
        <v>11868.86697</v>
      </c>
    </row>
    <row r="14" ht="16.5" customHeight="1">
      <c r="A14" s="12">
        <f>'Billing Period Forecast'!A9</f>
        <v>5</v>
      </c>
      <c r="B14" s="13">
        <f>'Billing Period Forecast'!B9</f>
        <v>46142</v>
      </c>
      <c r="C14" s="13">
        <f>'Billing Period Forecast'!C9</f>
        <v>46171</v>
      </c>
      <c r="D14" s="14">
        <f>'Billing Period Forecast'!G9</f>
        <v>124895.406</v>
      </c>
      <c r="E14" s="15">
        <f>'Billing Period Forecast'!H9</f>
        <v>281.6473</v>
      </c>
      <c r="F14" s="16">
        <f>'Billing Period Forecast'!R9</f>
        <v>12400.61758</v>
      </c>
    </row>
    <row r="15" ht="16.5" customHeight="1">
      <c r="A15" s="22">
        <f>'Billing Period Forecast'!A10</f>
        <v>6</v>
      </c>
      <c r="B15" s="23">
        <f>'Billing Period Forecast'!B10</f>
        <v>46172</v>
      </c>
      <c r="C15" s="23">
        <f>'Billing Period Forecast'!C10</f>
        <v>46202</v>
      </c>
      <c r="D15" s="24">
        <f>'Billing Period Forecast'!G10</f>
        <v>129449.6062</v>
      </c>
      <c r="E15" s="25">
        <f>'Billing Period Forecast'!H10</f>
        <v>308.6</v>
      </c>
      <c r="F15" s="26">
        <f>'Billing Period Forecast'!R10</f>
        <v>13052.79369</v>
      </c>
    </row>
    <row r="16" ht="16.5" customHeight="1">
      <c r="A16" s="22">
        <f>'Billing Period Forecast'!A11</f>
        <v>7</v>
      </c>
      <c r="B16" s="23">
        <f>'Billing Period Forecast'!B11</f>
        <v>46203</v>
      </c>
      <c r="C16" s="23">
        <f>'Billing Period Forecast'!C11</f>
        <v>46231</v>
      </c>
      <c r="D16" s="24">
        <f>'Billing Period Forecast'!G11</f>
        <v>117206.3344</v>
      </c>
      <c r="E16" s="25">
        <f>'Billing Period Forecast'!H11</f>
        <v>308.6</v>
      </c>
      <c r="F16" s="26">
        <f>'Billing Period Forecast'!R11</f>
        <v>11944.97531</v>
      </c>
    </row>
    <row r="17" ht="16.5" customHeight="1">
      <c r="A17" s="22">
        <f>'Billing Period Forecast'!A12</f>
        <v>8</v>
      </c>
      <c r="B17" s="23">
        <f>'Billing Period Forecast'!B12</f>
        <v>46232</v>
      </c>
      <c r="C17" s="23">
        <f>'Billing Period Forecast'!C12</f>
        <v>46261</v>
      </c>
      <c r="D17" s="24">
        <f>'Billing Period Forecast'!G12</f>
        <v>115454.166</v>
      </c>
      <c r="E17" s="25">
        <f>'Billing Period Forecast'!H12</f>
        <v>308.6</v>
      </c>
      <c r="F17" s="26">
        <f>'Billing Period Forecast'!R12</f>
        <v>12019.02004</v>
      </c>
    </row>
    <row r="18" ht="16.5" customHeight="1">
      <c r="A18" s="22">
        <f>'Billing Period Forecast'!A13</f>
        <v>9</v>
      </c>
      <c r="B18" s="23">
        <f>'Billing Period Forecast'!B13</f>
        <v>46262</v>
      </c>
      <c r="C18" s="23">
        <f>'Billing Period Forecast'!C13</f>
        <v>46290</v>
      </c>
      <c r="D18" s="24">
        <f>'Billing Period Forecast'!G13</f>
        <v>110177.9734</v>
      </c>
      <c r="E18" s="25">
        <f>'Billing Period Forecast'!H13</f>
        <v>308.6</v>
      </c>
      <c r="F18" s="26">
        <f>'Billing Period Forecast'!R13</f>
        <v>11726.6331</v>
      </c>
    </row>
    <row r="19" ht="16.5" customHeight="1">
      <c r="A19" s="17">
        <f>'Billing Period Forecast'!A14</f>
        <v>10</v>
      </c>
      <c r="B19" s="18">
        <f>'Billing Period Forecast'!B14</f>
        <v>46291</v>
      </c>
      <c r="C19" s="18">
        <f>'Billing Period Forecast'!C14</f>
        <v>46323</v>
      </c>
      <c r="D19" s="19">
        <f>'Billing Period Forecast'!G14</f>
        <v>129924.975</v>
      </c>
      <c r="E19" s="20">
        <f>'Billing Period Forecast'!H14</f>
        <v>281.6473</v>
      </c>
      <c r="F19" s="21">
        <f>'Billing Period Forecast'!R14</f>
        <v>12682.27674</v>
      </c>
    </row>
    <row r="20" ht="16.5" customHeight="1">
      <c r="A20" s="12">
        <f>'Billing Period Forecast'!A15</f>
        <v>11</v>
      </c>
      <c r="B20" s="13">
        <f>'Billing Period Forecast'!B15</f>
        <v>46324</v>
      </c>
      <c r="C20" s="13">
        <f>'Billing Period Forecast'!C15</f>
        <v>46353</v>
      </c>
      <c r="D20" s="14">
        <f>'Billing Period Forecast'!G15</f>
        <v>104968.2289</v>
      </c>
      <c r="E20" s="15">
        <f>'Billing Period Forecast'!H15</f>
        <v>281.6473</v>
      </c>
      <c r="F20" s="16">
        <f>'Billing Period Forecast'!R15</f>
        <v>10910.36073</v>
      </c>
    </row>
    <row r="21" ht="16.5" customHeight="1">
      <c r="A21" s="17">
        <f>'Billing Period Forecast'!A16</f>
        <v>12</v>
      </c>
      <c r="B21" s="18">
        <f>'Billing Period Forecast'!B16</f>
        <v>46354</v>
      </c>
      <c r="C21" s="18">
        <f>'Billing Period Forecast'!C16</f>
        <v>46385</v>
      </c>
      <c r="D21" s="19">
        <f>'Billing Period Forecast'!G16</f>
        <v>121207.7792</v>
      </c>
      <c r="E21" s="20">
        <f>'Billing Period Forecast'!H16</f>
        <v>281.6473</v>
      </c>
      <c r="F21" s="21">
        <f>'Billing Period Forecast'!R16</f>
        <v>12114.73039</v>
      </c>
    </row>
    <row r="22" ht="21.75" customHeight="1">
      <c r="A22" s="27" t="s">
        <v>16</v>
      </c>
      <c r="B22" s="28"/>
      <c r="C22" s="29"/>
      <c r="D22" s="30">
        <f>SUM(D10:D21)</f>
        <v>1407524.068</v>
      </c>
      <c r="E22" s="30">
        <f>AVERAGE(E10:E21)</f>
        <v>290.6315333</v>
      </c>
      <c r="F22" s="31">
        <f>SUM(F10:F21)</f>
        <v>141759.7791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8:F8"/>
    <mergeCell ref="A22:C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10.0"/>
    <col customWidth="1" min="4" max="4" width="42.0"/>
    <col customWidth="1" min="5" max="5" width="10.0"/>
    <col customWidth="1" min="6" max="26" width="8.71"/>
  </cols>
  <sheetData>
    <row r="1" ht="31.5" customHeight="1">
      <c r="A1" s="1" t="s">
        <v>17</v>
      </c>
      <c r="B1" s="2"/>
      <c r="C1" s="2"/>
      <c r="D1" s="2"/>
      <c r="E1" s="3"/>
    </row>
    <row r="2" ht="13.5" customHeight="1">
      <c r="A2" s="4" t="s">
        <v>18</v>
      </c>
      <c r="B2" s="2"/>
      <c r="C2" s="2"/>
      <c r="D2" s="2"/>
      <c r="E2" s="3"/>
    </row>
    <row r="4" ht="19.5" customHeight="1">
      <c r="A4" s="32" t="s">
        <v>19</v>
      </c>
      <c r="B4" s="2"/>
      <c r="C4" s="2"/>
      <c r="D4" s="2"/>
      <c r="E4" s="3"/>
    </row>
    <row r="5" ht="18.0" customHeight="1">
      <c r="A5" s="11" t="s">
        <v>20</v>
      </c>
      <c r="B5" s="11" t="s">
        <v>21</v>
      </c>
      <c r="C5" s="11" t="s">
        <v>22</v>
      </c>
      <c r="D5" s="11" t="s">
        <v>23</v>
      </c>
    </row>
    <row r="6" ht="16.5" customHeight="1">
      <c r="A6" s="33" t="s">
        <v>24</v>
      </c>
      <c r="B6" s="34">
        <v>0.0675</v>
      </c>
      <c r="C6" s="35" t="s">
        <v>25</v>
      </c>
      <c r="D6" s="36" t="s">
        <v>26</v>
      </c>
    </row>
    <row r="7" ht="16.5" customHeight="1">
      <c r="A7" s="37" t="s">
        <v>27</v>
      </c>
      <c r="B7" s="38">
        <v>13.75</v>
      </c>
      <c r="C7" s="39" t="s">
        <v>28</v>
      </c>
      <c r="D7" s="40" t="s">
        <v>29</v>
      </c>
    </row>
    <row r="8" ht="16.5" customHeight="1">
      <c r="A8" s="33" t="s">
        <v>30</v>
      </c>
      <c r="B8" s="34">
        <v>1.0</v>
      </c>
      <c r="C8" s="35" t="s">
        <v>31</v>
      </c>
      <c r="D8" s="36" t="s">
        <v>32</v>
      </c>
    </row>
    <row r="9" ht="16.5" customHeight="1">
      <c r="A9" s="37" t="s">
        <v>33</v>
      </c>
      <c r="B9" s="38">
        <v>0.05</v>
      </c>
      <c r="C9" s="39" t="s">
        <v>34</v>
      </c>
      <c r="D9" s="40" t="s">
        <v>35</v>
      </c>
    </row>
    <row r="10" ht="16.5" customHeight="1">
      <c r="A10" s="33" t="s">
        <v>36</v>
      </c>
      <c r="B10" s="34">
        <v>0.0</v>
      </c>
      <c r="C10" s="35" t="s">
        <v>37</v>
      </c>
      <c r="D10" s="36" t="s">
        <v>38</v>
      </c>
    </row>
    <row r="12" ht="19.5" customHeight="1">
      <c r="A12" s="32" t="s">
        <v>39</v>
      </c>
      <c r="B12" s="2"/>
      <c r="C12" s="2"/>
      <c r="D12" s="2"/>
      <c r="E12" s="3"/>
    </row>
    <row r="13" ht="18.0" customHeight="1">
      <c r="A13" s="11" t="s">
        <v>40</v>
      </c>
      <c r="B13" s="11" t="s">
        <v>21</v>
      </c>
      <c r="C13" s="11" t="s">
        <v>41</v>
      </c>
      <c r="D13" s="11" t="s">
        <v>42</v>
      </c>
    </row>
    <row r="14" ht="16.5" customHeight="1">
      <c r="A14" s="33" t="s">
        <v>43</v>
      </c>
      <c r="B14" s="34">
        <v>-49960.0</v>
      </c>
      <c r="C14" s="41">
        <v>29300.0</v>
      </c>
      <c r="D14" s="42">
        <v>0.103</v>
      </c>
    </row>
    <row r="15" ht="16.5" customHeight="1">
      <c r="A15" s="37" t="s">
        <v>44</v>
      </c>
      <c r="B15" s="38">
        <v>3740.32</v>
      </c>
      <c r="C15" s="43">
        <v>785.79</v>
      </c>
      <c r="D15" s="44">
        <v>0.0</v>
      </c>
    </row>
    <row r="16" ht="16.5" customHeight="1">
      <c r="A16" s="33" t="s">
        <v>45</v>
      </c>
      <c r="B16" s="34">
        <v>0.0943</v>
      </c>
      <c r="C16" s="41">
        <v>0.027</v>
      </c>
      <c r="D16" s="45">
        <v>0.003</v>
      </c>
    </row>
    <row r="17" ht="16.5" customHeight="1">
      <c r="A17" s="37" t="s">
        <v>46</v>
      </c>
      <c r="B17" s="38">
        <v>9124.51</v>
      </c>
      <c r="C17" s="43">
        <v>2336.38</v>
      </c>
      <c r="D17" s="44">
        <v>0.001</v>
      </c>
    </row>
    <row r="19" ht="19.5" customHeight="1">
      <c r="A19" s="32" t="s">
        <v>47</v>
      </c>
      <c r="B19" s="2"/>
      <c r="C19" s="2"/>
      <c r="D19" s="2"/>
      <c r="E19" s="3"/>
    </row>
    <row r="20" ht="18.0" customHeight="1">
      <c r="A20" s="11" t="s">
        <v>20</v>
      </c>
      <c r="B20" s="11" t="s">
        <v>21</v>
      </c>
      <c r="C20" s="11" t="s">
        <v>22</v>
      </c>
      <c r="D20" s="11" t="s">
        <v>23</v>
      </c>
    </row>
    <row r="21" ht="16.5" customHeight="1">
      <c r="A21" s="33" t="s">
        <v>48</v>
      </c>
      <c r="B21" s="34">
        <v>281.6473</v>
      </c>
      <c r="C21" s="35" t="s">
        <v>49</v>
      </c>
      <c r="D21" s="36" t="s">
        <v>50</v>
      </c>
    </row>
    <row r="22" ht="16.5" customHeight="1">
      <c r="A22" s="37" t="s">
        <v>51</v>
      </c>
      <c r="B22" s="38">
        <v>26.9527</v>
      </c>
      <c r="C22" s="39" t="s">
        <v>49</v>
      </c>
      <c r="D22" s="40" t="s">
        <v>52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4:E4"/>
    <mergeCell ref="A12:E12"/>
    <mergeCell ref="A19:E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0.0"/>
    <col customWidth="1" min="3" max="3" width="18.0"/>
    <col customWidth="1" min="4" max="5" width="14.0"/>
    <col customWidth="1" min="6" max="6" width="10.0"/>
    <col customWidth="1" min="7" max="26" width="8.71"/>
  </cols>
  <sheetData>
    <row r="1" ht="30.0" customHeight="1">
      <c r="A1" s="1" t="s">
        <v>53</v>
      </c>
      <c r="B1" s="2"/>
      <c r="C1" s="2"/>
      <c r="D1" s="2"/>
      <c r="E1" s="2"/>
      <c r="F1" s="3"/>
    </row>
    <row r="2" ht="13.5" customHeight="1">
      <c r="A2" s="4" t="s">
        <v>54</v>
      </c>
      <c r="B2" s="2"/>
      <c r="C2" s="2"/>
      <c r="D2" s="2"/>
      <c r="E2" s="2"/>
      <c r="F2" s="3"/>
    </row>
    <row r="4" ht="24.0" customHeight="1">
      <c r="A4" s="11" t="s">
        <v>55</v>
      </c>
      <c r="B4" s="11" t="s">
        <v>56</v>
      </c>
      <c r="C4" s="11" t="s">
        <v>57</v>
      </c>
      <c r="D4" s="11" t="s">
        <v>58</v>
      </c>
      <c r="E4" s="11" t="s">
        <v>59</v>
      </c>
      <c r="F4" s="11" t="s">
        <v>60</v>
      </c>
    </row>
    <row r="5" ht="16.5" customHeight="1">
      <c r="A5" s="35" t="s">
        <v>61</v>
      </c>
      <c r="B5" s="46">
        <v>1.0</v>
      </c>
      <c r="C5" s="47">
        <v>497070.41</v>
      </c>
      <c r="D5" s="48">
        <v>31.0</v>
      </c>
      <c r="E5" s="41">
        <f t="shared" ref="E5:E16" si="1">C5/D5</f>
        <v>16034.52935</v>
      </c>
      <c r="F5" s="35" t="s">
        <v>62</v>
      </c>
    </row>
    <row r="6" ht="16.5" customHeight="1">
      <c r="A6" s="39" t="s">
        <v>63</v>
      </c>
      <c r="B6" s="49">
        <v>2.0</v>
      </c>
      <c r="C6" s="50">
        <v>534195.55</v>
      </c>
      <c r="D6" s="51">
        <v>28.0</v>
      </c>
      <c r="E6" s="43">
        <f t="shared" si="1"/>
        <v>19078.4125</v>
      </c>
      <c r="F6" s="39" t="s">
        <v>62</v>
      </c>
    </row>
    <row r="7" ht="16.5" customHeight="1">
      <c r="A7" s="35" t="s">
        <v>64</v>
      </c>
      <c r="B7" s="46">
        <v>3.0</v>
      </c>
      <c r="C7" s="47">
        <v>579123.26</v>
      </c>
      <c r="D7" s="48">
        <v>31.0</v>
      </c>
      <c r="E7" s="41">
        <f t="shared" si="1"/>
        <v>18681.39548</v>
      </c>
      <c r="F7" s="35" t="s">
        <v>62</v>
      </c>
    </row>
    <row r="8" ht="16.5" customHeight="1">
      <c r="A8" s="39" t="s">
        <v>65</v>
      </c>
      <c r="B8" s="49">
        <v>4.0</v>
      </c>
      <c r="C8" s="50">
        <v>585601.67</v>
      </c>
      <c r="D8" s="51">
        <v>30.0</v>
      </c>
      <c r="E8" s="43">
        <f t="shared" si="1"/>
        <v>19520.05567</v>
      </c>
      <c r="F8" s="39" t="s">
        <v>62</v>
      </c>
    </row>
    <row r="9" ht="16.5" customHeight="1">
      <c r="A9" s="52" t="s">
        <v>66</v>
      </c>
      <c r="B9" s="53">
        <v>5.0</v>
      </c>
      <c r="C9" s="54">
        <v>689273.78</v>
      </c>
      <c r="D9" s="55">
        <v>31.0</v>
      </c>
      <c r="E9" s="56">
        <f t="shared" si="1"/>
        <v>22234.63806</v>
      </c>
      <c r="F9" s="52" t="s">
        <v>67</v>
      </c>
    </row>
    <row r="10" ht="16.5" customHeight="1">
      <c r="A10" s="52" t="s">
        <v>68</v>
      </c>
      <c r="B10" s="53">
        <v>6.0</v>
      </c>
      <c r="C10" s="54">
        <v>550060.96</v>
      </c>
      <c r="D10" s="55">
        <v>30.0</v>
      </c>
      <c r="E10" s="56">
        <f t="shared" si="1"/>
        <v>18335.36533</v>
      </c>
      <c r="F10" s="52" t="s">
        <v>67</v>
      </c>
    </row>
    <row r="11" ht="16.5" customHeight="1">
      <c r="A11" s="52" t="s">
        <v>69</v>
      </c>
      <c r="B11" s="53">
        <v>7.0</v>
      </c>
      <c r="C11" s="54">
        <v>561713.79</v>
      </c>
      <c r="D11" s="55">
        <v>31.0</v>
      </c>
      <c r="E11" s="56">
        <f t="shared" si="1"/>
        <v>18119.79968</v>
      </c>
      <c r="F11" s="52" t="s">
        <v>67</v>
      </c>
    </row>
    <row r="12" ht="16.5" customHeight="1">
      <c r="A12" s="52" t="s">
        <v>70</v>
      </c>
      <c r="B12" s="53">
        <v>8.0</v>
      </c>
      <c r="C12" s="54">
        <v>474283.37</v>
      </c>
      <c r="D12" s="55">
        <v>31.0</v>
      </c>
      <c r="E12" s="56">
        <f t="shared" si="1"/>
        <v>15299.46355</v>
      </c>
      <c r="F12" s="52" t="s">
        <v>67</v>
      </c>
    </row>
    <row r="13" ht="16.5" customHeight="1">
      <c r="A13" s="35" t="s">
        <v>71</v>
      </c>
      <c r="B13" s="46">
        <v>9.0</v>
      </c>
      <c r="C13" s="47">
        <v>467951.97</v>
      </c>
      <c r="D13" s="48">
        <v>30.0</v>
      </c>
      <c r="E13" s="41">
        <f t="shared" si="1"/>
        <v>15598.399</v>
      </c>
      <c r="F13" s="35" t="s">
        <v>62</v>
      </c>
    </row>
    <row r="14" ht="16.5" customHeight="1">
      <c r="A14" s="39" t="s">
        <v>72</v>
      </c>
      <c r="B14" s="49">
        <v>10.0</v>
      </c>
      <c r="C14" s="50">
        <v>576462.99</v>
      </c>
      <c r="D14" s="51">
        <v>31.0</v>
      </c>
      <c r="E14" s="43">
        <f t="shared" si="1"/>
        <v>18595.58032</v>
      </c>
      <c r="F14" s="39" t="s">
        <v>62</v>
      </c>
    </row>
    <row r="15" ht="16.5" customHeight="1">
      <c r="A15" s="35" t="s">
        <v>73</v>
      </c>
      <c r="B15" s="46">
        <v>11.0</v>
      </c>
      <c r="C15" s="47">
        <v>441356.66</v>
      </c>
      <c r="D15" s="48">
        <v>30.0</v>
      </c>
      <c r="E15" s="41">
        <f t="shared" si="1"/>
        <v>14711.88867</v>
      </c>
      <c r="F15" s="35" t="s">
        <v>62</v>
      </c>
    </row>
    <row r="16" ht="16.5" customHeight="1">
      <c r="A16" s="39" t="s">
        <v>74</v>
      </c>
      <c r="B16" s="49">
        <v>12.0</v>
      </c>
      <c r="C16" s="50">
        <v>536359.36</v>
      </c>
      <c r="D16" s="51">
        <v>31.0</v>
      </c>
      <c r="E16" s="43">
        <f t="shared" si="1"/>
        <v>17301.91484</v>
      </c>
      <c r="F16" s="39" t="s">
        <v>62</v>
      </c>
    </row>
    <row r="17" ht="19.5" customHeight="1">
      <c r="A17" s="27" t="s">
        <v>16</v>
      </c>
      <c r="B17" s="29"/>
      <c r="C17" s="57">
        <f>SUM(C5:C16)</f>
        <v>6493453.77</v>
      </c>
      <c r="D17" s="58"/>
      <c r="E17" s="58"/>
      <c r="F17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17:B1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3" width="13.0"/>
    <col customWidth="1" min="4" max="4" width="7.0"/>
    <col customWidth="1" min="5" max="5" width="8.0"/>
    <col customWidth="1" min="6" max="6" width="17.0"/>
    <col customWidth="1" min="7" max="7" width="14.0"/>
    <col customWidth="1" min="8" max="8" width="13.0"/>
    <col customWidth="1" min="9" max="10" width="12.0"/>
    <col customWidth="1" min="11" max="11" width="11.0"/>
    <col customWidth="1" min="12" max="13" width="12.0"/>
    <col customWidth="1" min="14" max="14" width="13.0"/>
    <col customWidth="1" min="15" max="15" width="11.0"/>
    <col customWidth="1" min="16" max="16" width="13.0"/>
    <col customWidth="1" min="17" max="17" width="11.0"/>
    <col customWidth="1" min="18" max="18" width="14.0"/>
    <col customWidth="1" min="19" max="19" width="13.0"/>
    <col customWidth="1" min="20" max="23" width="11.0"/>
    <col customWidth="1" min="24" max="29" width="8.71"/>
  </cols>
  <sheetData>
    <row r="1" ht="30.0" customHeight="1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59"/>
      <c r="V1" s="59"/>
      <c r="W1" s="59"/>
    </row>
    <row r="2" ht="13.5" customHeight="1">
      <c r="A2" s="4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60"/>
      <c r="V2" s="60"/>
      <c r="W2" s="60"/>
    </row>
    <row r="3" ht="18.0" customHeight="1">
      <c r="A3" s="10" t="s">
        <v>77</v>
      </c>
      <c r="B3" s="2"/>
      <c r="C3" s="2"/>
      <c r="D3" s="2"/>
      <c r="E3" s="2"/>
      <c r="F3" s="3"/>
      <c r="G3" s="10" t="s">
        <v>78</v>
      </c>
      <c r="H3" s="3"/>
      <c r="I3" s="10" t="s">
        <v>79</v>
      </c>
      <c r="J3" s="3"/>
      <c r="K3" s="10" t="s">
        <v>80</v>
      </c>
      <c r="L3" s="2"/>
      <c r="M3" s="2"/>
      <c r="N3" s="2"/>
      <c r="O3" s="3"/>
      <c r="P3" s="61" t="s">
        <v>81</v>
      </c>
      <c r="Q3" s="61" t="s">
        <v>82</v>
      </c>
      <c r="R3" s="61" t="s">
        <v>15</v>
      </c>
      <c r="S3" s="62" t="s">
        <v>83</v>
      </c>
      <c r="T3" s="3"/>
      <c r="U3" s="63"/>
      <c r="V3" s="63"/>
      <c r="W3" s="63"/>
    </row>
    <row r="4" ht="36.0" customHeight="1">
      <c r="A4" s="64" t="s">
        <v>84</v>
      </c>
      <c r="B4" s="64" t="s">
        <v>85</v>
      </c>
      <c r="C4" s="64" t="s">
        <v>86</v>
      </c>
      <c r="D4" s="64" t="s">
        <v>87</v>
      </c>
      <c r="E4" s="64" t="s">
        <v>88</v>
      </c>
      <c r="F4" s="64" t="s">
        <v>89</v>
      </c>
      <c r="G4" s="64" t="s">
        <v>90</v>
      </c>
      <c r="H4" s="64" t="s">
        <v>91</v>
      </c>
      <c r="I4" s="64" t="s">
        <v>92</v>
      </c>
      <c r="J4" s="64" t="s">
        <v>93</v>
      </c>
      <c r="K4" s="64" t="s">
        <v>94</v>
      </c>
      <c r="L4" s="64" t="s">
        <v>95</v>
      </c>
      <c r="M4" s="64" t="s">
        <v>96</v>
      </c>
      <c r="N4" s="64" t="s">
        <v>97</v>
      </c>
      <c r="O4" s="64" t="s">
        <v>98</v>
      </c>
      <c r="P4" s="64" t="s">
        <v>81</v>
      </c>
      <c r="Q4" s="64" t="s">
        <v>82</v>
      </c>
      <c r="R4" s="64" t="s">
        <v>15</v>
      </c>
      <c r="S4" s="64" t="s">
        <v>99</v>
      </c>
      <c r="T4" s="64" t="s">
        <v>100</v>
      </c>
      <c r="U4" s="65" t="s">
        <v>101</v>
      </c>
      <c r="V4" s="65" t="s">
        <v>102</v>
      </c>
      <c r="W4" s="65" t="s">
        <v>103</v>
      </c>
    </row>
    <row r="5" ht="16.5" customHeight="1">
      <c r="A5" s="35">
        <v>1.0</v>
      </c>
      <c r="B5" s="66">
        <v>46022.0</v>
      </c>
      <c r="C5" s="66">
        <v>46051.0</v>
      </c>
      <c r="D5" s="46">
        <f t="shared" ref="D5:D16" si="3">C5-B5+1</f>
        <v>30</v>
      </c>
      <c r="E5" s="48">
        <v>0.0</v>
      </c>
      <c r="F5" s="47">
        <v>465001.35</v>
      </c>
      <c r="G5" s="14">
        <f>Assumptions!$B$14+Assumptions!$B$15*D5+Assumptions!$B$16*F5+Assumptions!$B$17*E5</f>
        <v>106099.2273</v>
      </c>
      <c r="H5" s="15">
        <f>Assumptions!$B$21+Assumptions!$B$22*E5</f>
        <v>281.6473</v>
      </c>
      <c r="I5" s="67">
        <f>Assumptions!$B$6</f>
        <v>0.0675</v>
      </c>
      <c r="J5" s="67">
        <f>Assumptions!$B$7</f>
        <v>13.75</v>
      </c>
      <c r="K5" s="68">
        <f>D5*Assumptions!$B$8</f>
        <v>30</v>
      </c>
      <c r="L5" s="68">
        <f t="shared" ref="L5:M5" si="1">G5*I5</f>
        <v>7161.697843</v>
      </c>
      <c r="M5" s="68">
        <f t="shared" si="1"/>
        <v>3872.650375</v>
      </c>
      <c r="N5" s="68">
        <f t="shared" ref="N5:O5" si="2">S5</f>
        <v>-534.50448</v>
      </c>
      <c r="O5" s="68">
        <f t="shared" si="2"/>
        <v>-466.42</v>
      </c>
      <c r="P5" s="68">
        <f t="shared" ref="P5:P16" si="6">SUM(K5,L5,M5,N5,O5)</f>
        <v>10063.42374</v>
      </c>
      <c r="Q5" s="68">
        <f>P5*Assumptions!$B$9</f>
        <v>503.1711869</v>
      </c>
      <c r="R5" s="68">
        <f t="shared" ref="R5:R16" si="7">P5+Q5</f>
        <v>10566.59492</v>
      </c>
      <c r="S5" s="69">
        <v>-534.5044800000001</v>
      </c>
      <c r="T5" s="69">
        <v>-466.42</v>
      </c>
      <c r="U5" s="70">
        <v>11212.09</v>
      </c>
      <c r="V5" s="70">
        <f t="shared" ref="V5:V6" si="8">U5-R5</f>
        <v>645.495075</v>
      </c>
      <c r="W5" s="71">
        <f t="shared" ref="W5:W6" si="9">V5/U5</f>
        <v>0.05757134263</v>
      </c>
    </row>
    <row r="6" ht="16.5" customHeight="1">
      <c r="A6" s="39">
        <v>2.0</v>
      </c>
      <c r="B6" s="72">
        <v>46052.0</v>
      </c>
      <c r="C6" s="72">
        <v>46083.0</v>
      </c>
      <c r="D6" s="49">
        <f t="shared" si="3"/>
        <v>32</v>
      </c>
      <c r="E6" s="51">
        <v>0.0</v>
      </c>
      <c r="F6" s="50">
        <v>603627.4</v>
      </c>
      <c r="G6" s="19">
        <f>Assumptions!$B$14+Assumptions!$B$15*D6+Assumptions!$B$16*F6+Assumptions!$B$17*E6</f>
        <v>126652.3038</v>
      </c>
      <c r="H6" s="20">
        <f>Assumptions!$B$21+Assumptions!$B$22*E6</f>
        <v>281.6473</v>
      </c>
      <c r="I6" s="73">
        <f>Assumptions!$B$6</f>
        <v>0.0675</v>
      </c>
      <c r="J6" s="73">
        <f>Assumptions!$B$7</f>
        <v>13.75</v>
      </c>
      <c r="K6" s="74">
        <f>D6*Assumptions!$B$8</f>
        <v>32</v>
      </c>
      <c r="L6" s="74">
        <f t="shared" ref="L6:M6" si="4">G6*I6</f>
        <v>8549.030508</v>
      </c>
      <c r="M6" s="74">
        <f t="shared" si="4"/>
        <v>3872.650375</v>
      </c>
      <c r="N6" s="74">
        <f t="shared" ref="N6:O6" si="5">S6</f>
        <v>-554.204352</v>
      </c>
      <c r="O6" s="74">
        <f t="shared" si="5"/>
        <v>-497.51</v>
      </c>
      <c r="P6" s="74">
        <f t="shared" si="6"/>
        <v>11401.96653</v>
      </c>
      <c r="Q6" s="74">
        <f>P6*Assumptions!$B$9</f>
        <v>570.0983265</v>
      </c>
      <c r="R6" s="74">
        <f t="shared" si="7"/>
        <v>11972.06486</v>
      </c>
      <c r="S6" s="75">
        <v>-554.204352</v>
      </c>
      <c r="T6" s="75">
        <v>-497.51</v>
      </c>
      <c r="U6" s="70">
        <v>12527.05</v>
      </c>
      <c r="V6" s="70">
        <f t="shared" si="8"/>
        <v>554.9851426</v>
      </c>
      <c r="W6" s="71">
        <f t="shared" si="9"/>
        <v>0.04430293985</v>
      </c>
    </row>
    <row r="7" ht="16.5" customHeight="1">
      <c r="A7" s="35">
        <v>3.0</v>
      </c>
      <c r="B7" s="66">
        <v>46084.0</v>
      </c>
      <c r="C7" s="66">
        <v>46111.0</v>
      </c>
      <c r="D7" s="46">
        <f t="shared" si="3"/>
        <v>28</v>
      </c>
      <c r="E7" s="48">
        <v>0.0</v>
      </c>
      <c r="F7" s="47">
        <v>523079.07</v>
      </c>
      <c r="G7" s="14">
        <f>Assumptions!$B$14+Assumptions!$B$15*D7+Assumptions!$B$16*F7+Assumptions!$B$17*E7</f>
        <v>104095.3163</v>
      </c>
      <c r="H7" s="15">
        <f>Assumptions!$B$21+Assumptions!$B$22*E7</f>
        <v>281.6473</v>
      </c>
      <c r="I7" s="67">
        <f>Assumptions!$B$6</f>
        <v>0.0675</v>
      </c>
      <c r="J7" s="67">
        <f>Assumptions!$B$7</f>
        <v>13.75</v>
      </c>
      <c r="K7" s="68">
        <f>D7*Assumptions!$B$8</f>
        <v>28</v>
      </c>
      <c r="L7" s="68">
        <f t="shared" ref="L7:M7" si="10">G7*I7</f>
        <v>7026.43385</v>
      </c>
      <c r="M7" s="68">
        <f t="shared" si="10"/>
        <v>3872.650375</v>
      </c>
      <c r="N7" s="68">
        <f t="shared" ref="N7:O7" si="11">S7</f>
        <v>-490.959648</v>
      </c>
      <c r="O7" s="68">
        <f t="shared" si="11"/>
        <v>-435.32</v>
      </c>
      <c r="P7" s="68">
        <f t="shared" si="6"/>
        <v>10000.80458</v>
      </c>
      <c r="Q7" s="68">
        <f>P7*Assumptions!$B$9</f>
        <v>500.0402289</v>
      </c>
      <c r="R7" s="68">
        <f t="shared" si="7"/>
        <v>10500.84481</v>
      </c>
      <c r="S7" s="69">
        <v>-490.959648</v>
      </c>
      <c r="T7" s="69">
        <v>-435.32</v>
      </c>
      <c r="U7" s="76"/>
      <c r="V7" s="76"/>
      <c r="W7" s="76"/>
    </row>
    <row r="8" ht="16.5" customHeight="1">
      <c r="A8" s="39">
        <v>4.0</v>
      </c>
      <c r="B8" s="72">
        <v>46112.0</v>
      </c>
      <c r="C8" s="72">
        <v>46141.0</v>
      </c>
      <c r="D8" s="49">
        <f t="shared" si="3"/>
        <v>30</v>
      </c>
      <c r="E8" s="51">
        <v>0.0</v>
      </c>
      <c r="F8" s="50">
        <v>584763.01</v>
      </c>
      <c r="G8" s="19">
        <f>Assumptions!$B$14+Assumptions!$B$15*D8+Assumptions!$B$16*F8+Assumptions!$B$17*E8</f>
        <v>117392.7518</v>
      </c>
      <c r="H8" s="20">
        <f>Assumptions!$B$21+Assumptions!$B$22*E8</f>
        <v>281.6473</v>
      </c>
      <c r="I8" s="73">
        <f>Assumptions!$B$6</f>
        <v>0.0675</v>
      </c>
      <c r="J8" s="73">
        <f>Assumptions!$B$7</f>
        <v>13.75</v>
      </c>
      <c r="K8" s="74">
        <f>D8*Assumptions!$B$8</f>
        <v>30</v>
      </c>
      <c r="L8" s="74">
        <f t="shared" ref="L8:M8" si="12">G8*I8</f>
        <v>7924.010749</v>
      </c>
      <c r="M8" s="74">
        <f t="shared" si="12"/>
        <v>3872.650375</v>
      </c>
      <c r="N8" s="74">
        <f t="shared" ref="N8:O8" si="13">S8</f>
        <v>-522.9783</v>
      </c>
      <c r="O8" s="74">
        <f t="shared" si="13"/>
        <v>0</v>
      </c>
      <c r="P8" s="74">
        <f t="shared" si="6"/>
        <v>11303.68282</v>
      </c>
      <c r="Q8" s="74">
        <f>P8*Assumptions!$B$9</f>
        <v>565.1841412</v>
      </c>
      <c r="R8" s="74">
        <f t="shared" si="7"/>
        <v>11868.86697</v>
      </c>
      <c r="S8" s="75">
        <v>-522.9783</v>
      </c>
      <c r="T8" s="75">
        <v>0.0</v>
      </c>
      <c r="U8" s="77"/>
      <c r="V8" s="77"/>
      <c r="W8" s="77"/>
    </row>
    <row r="9" ht="16.5" customHeight="1">
      <c r="A9" s="35">
        <v>5.0</v>
      </c>
      <c r="B9" s="66">
        <v>46142.0</v>
      </c>
      <c r="C9" s="66">
        <v>46171.0</v>
      </c>
      <c r="D9" s="46">
        <f t="shared" si="3"/>
        <v>30</v>
      </c>
      <c r="E9" s="48">
        <v>0.0</v>
      </c>
      <c r="F9" s="47">
        <v>664324.56</v>
      </c>
      <c r="G9" s="14">
        <f>Assumptions!$B$14+Assumptions!$B$15*D9+Assumptions!$B$16*F9+Assumptions!$B$17*E9</f>
        <v>124895.406</v>
      </c>
      <c r="H9" s="15">
        <f>Assumptions!$B$21+Assumptions!$B$22*E9</f>
        <v>281.6473</v>
      </c>
      <c r="I9" s="67">
        <f>Assumptions!$B$6</f>
        <v>0.0675</v>
      </c>
      <c r="J9" s="67">
        <f>Assumptions!$B$7</f>
        <v>13.75</v>
      </c>
      <c r="K9" s="68">
        <f>D9*Assumptions!$B$8</f>
        <v>30</v>
      </c>
      <c r="L9" s="68">
        <f t="shared" ref="L9:M9" si="14">G9*I9</f>
        <v>8430.439906</v>
      </c>
      <c r="M9" s="68">
        <f t="shared" si="14"/>
        <v>3872.650375</v>
      </c>
      <c r="N9" s="68">
        <f t="shared" ref="N9:O9" si="15">S9</f>
        <v>-522.9783</v>
      </c>
      <c r="O9" s="68">
        <f t="shared" si="15"/>
        <v>0</v>
      </c>
      <c r="P9" s="68">
        <f t="shared" si="6"/>
        <v>11810.11198</v>
      </c>
      <c r="Q9" s="68">
        <f>P9*Assumptions!$B$9</f>
        <v>590.505599</v>
      </c>
      <c r="R9" s="68">
        <f t="shared" si="7"/>
        <v>12400.61758</v>
      </c>
      <c r="S9" s="69">
        <v>-522.9783</v>
      </c>
      <c r="T9" s="69">
        <v>0.0</v>
      </c>
      <c r="U9" s="76"/>
      <c r="V9" s="76"/>
      <c r="W9" s="76"/>
    </row>
    <row r="10" ht="16.5" customHeight="1">
      <c r="A10" s="52">
        <v>6.0</v>
      </c>
      <c r="B10" s="78">
        <v>46172.0</v>
      </c>
      <c r="C10" s="78">
        <v>46202.0</v>
      </c>
      <c r="D10" s="53">
        <f t="shared" si="3"/>
        <v>31</v>
      </c>
      <c r="E10" s="55">
        <v>1.0</v>
      </c>
      <c r="F10" s="54">
        <v>576194.87</v>
      </c>
      <c r="G10" s="24">
        <f>Assumptions!$B$14+Assumptions!$B$15*D10+Assumptions!$B$16*F10+Assumptions!$B$17*E10</f>
        <v>129449.6062</v>
      </c>
      <c r="H10" s="25">
        <f>Assumptions!$B$21+Assumptions!$B$22*E10</f>
        <v>308.6</v>
      </c>
      <c r="I10" s="79">
        <f>Assumptions!$B$6</f>
        <v>0.0675</v>
      </c>
      <c r="J10" s="79">
        <f>Assumptions!$B$7</f>
        <v>13.75</v>
      </c>
      <c r="K10" s="80">
        <f>D10*Assumptions!$B$8</f>
        <v>31</v>
      </c>
      <c r="L10" s="80">
        <f t="shared" ref="L10:M10" si="16">G10*I10</f>
        <v>8737.848421</v>
      </c>
      <c r="M10" s="80">
        <f t="shared" si="16"/>
        <v>4243.25</v>
      </c>
      <c r="N10" s="80">
        <f t="shared" ref="N10:O10" si="17">S10</f>
        <v>-580.866336</v>
      </c>
      <c r="O10" s="80">
        <f t="shared" si="17"/>
        <v>0</v>
      </c>
      <c r="P10" s="80">
        <f t="shared" si="6"/>
        <v>12431.23209</v>
      </c>
      <c r="Q10" s="80">
        <f>P10*Assumptions!$B$9</f>
        <v>621.5616043</v>
      </c>
      <c r="R10" s="80">
        <f t="shared" si="7"/>
        <v>13052.79369</v>
      </c>
      <c r="S10" s="81">
        <v>-580.866336</v>
      </c>
      <c r="T10" s="81">
        <v>0.0</v>
      </c>
      <c r="U10" s="82"/>
      <c r="V10" s="82"/>
      <c r="W10" s="82"/>
    </row>
    <row r="11" ht="16.5" customHeight="1">
      <c r="A11" s="52">
        <v>7.0</v>
      </c>
      <c r="B11" s="78">
        <v>46203.0</v>
      </c>
      <c r="C11" s="78">
        <v>46231.0</v>
      </c>
      <c r="D11" s="53">
        <f t="shared" si="3"/>
        <v>29</v>
      </c>
      <c r="E11" s="55">
        <v>1.0</v>
      </c>
      <c r="F11" s="54">
        <v>525689.76</v>
      </c>
      <c r="G11" s="24">
        <f>Assumptions!$B$14+Assumptions!$B$15*D11+Assumptions!$B$16*F11+Assumptions!$B$17*E11</f>
        <v>117206.3344</v>
      </c>
      <c r="H11" s="25">
        <f>Assumptions!$B$21+Assumptions!$B$22*E11</f>
        <v>308.6</v>
      </c>
      <c r="I11" s="79">
        <f>Assumptions!$B$6</f>
        <v>0.0675</v>
      </c>
      <c r="J11" s="79">
        <f>Assumptions!$B$7</f>
        <v>13.75</v>
      </c>
      <c r="K11" s="80">
        <f>D11*Assumptions!$B$8</f>
        <v>29</v>
      </c>
      <c r="L11" s="80">
        <f t="shared" ref="L11:M11" si="18">G11*I11</f>
        <v>7911.42757</v>
      </c>
      <c r="M11" s="80">
        <f t="shared" si="18"/>
        <v>4243.25</v>
      </c>
      <c r="N11" s="80">
        <f t="shared" ref="N11:O11" si="19">S11</f>
        <v>-589.830606</v>
      </c>
      <c r="O11" s="80">
        <f t="shared" si="19"/>
        <v>-217.68</v>
      </c>
      <c r="P11" s="80">
        <f t="shared" si="6"/>
        <v>11376.16696</v>
      </c>
      <c r="Q11" s="80">
        <f>P11*Assumptions!$B$9</f>
        <v>568.8083482</v>
      </c>
      <c r="R11" s="80">
        <f t="shared" si="7"/>
        <v>11944.97531</v>
      </c>
      <c r="S11" s="81">
        <v>-589.830606</v>
      </c>
      <c r="T11" s="81">
        <v>-217.68</v>
      </c>
      <c r="U11" s="82"/>
      <c r="V11" s="82"/>
      <c r="W11" s="82"/>
    </row>
    <row r="12" ht="16.5" customHeight="1">
      <c r="A12" s="52">
        <v>8.0</v>
      </c>
      <c r="B12" s="78">
        <v>46232.0</v>
      </c>
      <c r="C12" s="78">
        <v>46261.0</v>
      </c>
      <c r="D12" s="53">
        <f t="shared" si="3"/>
        <v>30</v>
      </c>
      <c r="E12" s="55">
        <v>1.0</v>
      </c>
      <c r="F12" s="54">
        <v>467444.92</v>
      </c>
      <c r="G12" s="24">
        <f>Assumptions!$B$14+Assumptions!$B$15*D12+Assumptions!$B$16*F12+Assumptions!$B$17*E12</f>
        <v>115454.166</v>
      </c>
      <c r="H12" s="25">
        <f>Assumptions!$B$21+Assumptions!$B$22*E12</f>
        <v>308.6</v>
      </c>
      <c r="I12" s="79">
        <f>Assumptions!$B$6</f>
        <v>0.0675</v>
      </c>
      <c r="J12" s="79">
        <f>Assumptions!$B$7</f>
        <v>13.75</v>
      </c>
      <c r="K12" s="80">
        <f>D12*Assumptions!$B$8</f>
        <v>30</v>
      </c>
      <c r="L12" s="80">
        <f t="shared" ref="L12:M12" si="20">G12*I12</f>
        <v>7793.156202</v>
      </c>
      <c r="M12" s="80">
        <f t="shared" si="20"/>
        <v>4243.25</v>
      </c>
      <c r="N12" s="80">
        <f t="shared" ref="N12:O12" si="21">S12</f>
        <v>-619.720452</v>
      </c>
      <c r="O12" s="80">
        <f t="shared" si="21"/>
        <v>0</v>
      </c>
      <c r="P12" s="80">
        <f t="shared" si="6"/>
        <v>11446.68575</v>
      </c>
      <c r="Q12" s="80">
        <f>P12*Assumptions!$B$9</f>
        <v>572.3342875</v>
      </c>
      <c r="R12" s="80">
        <f t="shared" si="7"/>
        <v>12019.02004</v>
      </c>
      <c r="S12" s="81">
        <v>-619.720452</v>
      </c>
      <c r="T12" s="81">
        <v>0.0</v>
      </c>
      <c r="U12" s="82"/>
      <c r="V12" s="82"/>
      <c r="W12" s="82"/>
    </row>
    <row r="13" ht="16.5" customHeight="1">
      <c r="A13" s="52">
        <v>9.0</v>
      </c>
      <c r="B13" s="78">
        <v>46262.0</v>
      </c>
      <c r="C13" s="78">
        <v>46290.0</v>
      </c>
      <c r="D13" s="53">
        <f t="shared" si="3"/>
        <v>29</v>
      </c>
      <c r="E13" s="55">
        <v>1.0</v>
      </c>
      <c r="F13" s="54">
        <v>451157.83</v>
      </c>
      <c r="G13" s="24">
        <f>Assumptions!$B$14+Assumptions!$B$15*D13+Assumptions!$B$16*F13+Assumptions!$B$17*E13</f>
        <v>110177.9734</v>
      </c>
      <c r="H13" s="25">
        <f>Assumptions!$B$21+Assumptions!$B$22*E13</f>
        <v>308.6</v>
      </c>
      <c r="I13" s="79">
        <f>Assumptions!$B$6</f>
        <v>0.0675</v>
      </c>
      <c r="J13" s="79">
        <f>Assumptions!$B$7</f>
        <v>13.75</v>
      </c>
      <c r="K13" s="80">
        <f>D13*Assumptions!$B$8</f>
        <v>29</v>
      </c>
      <c r="L13" s="80">
        <f t="shared" ref="L13:M13" si="22">G13*I13</f>
        <v>7437.013202</v>
      </c>
      <c r="M13" s="80">
        <f t="shared" si="22"/>
        <v>4243.25</v>
      </c>
      <c r="N13" s="80">
        <f t="shared" ref="N13:O13" si="23">S13</f>
        <v>-541.041201</v>
      </c>
      <c r="O13" s="80">
        <f t="shared" si="23"/>
        <v>0</v>
      </c>
      <c r="P13" s="80">
        <f t="shared" si="6"/>
        <v>11168.222</v>
      </c>
      <c r="Q13" s="80">
        <f>P13*Assumptions!$B$9</f>
        <v>558.4111001</v>
      </c>
      <c r="R13" s="80">
        <f t="shared" si="7"/>
        <v>11726.6331</v>
      </c>
      <c r="S13" s="81">
        <v>-541.041201</v>
      </c>
      <c r="T13" s="81">
        <v>0.0</v>
      </c>
      <c r="U13" s="82"/>
      <c r="V13" s="82"/>
      <c r="W13" s="82"/>
    </row>
    <row r="14" ht="16.5" customHeight="1">
      <c r="A14" s="39">
        <v>10.0</v>
      </c>
      <c r="B14" s="72">
        <v>46291.0</v>
      </c>
      <c r="C14" s="72">
        <v>46323.0</v>
      </c>
      <c r="D14" s="49">
        <f t="shared" si="3"/>
        <v>33</v>
      </c>
      <c r="E14" s="51">
        <v>0.0</v>
      </c>
      <c r="F14" s="50">
        <v>598668.24</v>
      </c>
      <c r="G14" s="19">
        <f>Assumptions!$B$14+Assumptions!$B$15*D14+Assumptions!$B$16*F14+Assumptions!$B$17*E14</f>
        <v>129924.975</v>
      </c>
      <c r="H14" s="20">
        <f>Assumptions!$B$21+Assumptions!$B$22*E14</f>
        <v>281.6473</v>
      </c>
      <c r="I14" s="73">
        <f>Assumptions!$B$6</f>
        <v>0.0675</v>
      </c>
      <c r="J14" s="73">
        <f>Assumptions!$B$7</f>
        <v>13.75</v>
      </c>
      <c r="K14" s="74">
        <f>D14*Assumptions!$B$8</f>
        <v>33</v>
      </c>
      <c r="L14" s="74">
        <f t="shared" ref="L14:M14" si="24">G14*I14</f>
        <v>8769.935815</v>
      </c>
      <c r="M14" s="74">
        <f t="shared" si="24"/>
        <v>3872.650375</v>
      </c>
      <c r="N14" s="74">
        <f t="shared" ref="N14:O14" si="25">S14</f>
        <v>-597.227391</v>
      </c>
      <c r="O14" s="74">
        <f t="shared" si="25"/>
        <v>0</v>
      </c>
      <c r="P14" s="74">
        <f t="shared" si="6"/>
        <v>12078.3588</v>
      </c>
      <c r="Q14" s="74">
        <f>P14*Assumptions!$B$9</f>
        <v>603.9179399</v>
      </c>
      <c r="R14" s="74">
        <f t="shared" si="7"/>
        <v>12682.27674</v>
      </c>
      <c r="S14" s="75">
        <v>-597.227391</v>
      </c>
      <c r="T14" s="75">
        <v>0.0</v>
      </c>
      <c r="U14" s="77"/>
      <c r="V14" s="77"/>
      <c r="W14" s="77"/>
    </row>
    <row r="15" ht="16.5" customHeight="1">
      <c r="A15" s="35">
        <v>11.0</v>
      </c>
      <c r="B15" s="66">
        <v>46324.0</v>
      </c>
      <c r="C15" s="66">
        <v>46353.0</v>
      </c>
      <c r="D15" s="46">
        <f t="shared" si="3"/>
        <v>30</v>
      </c>
      <c r="E15" s="48">
        <v>0.0</v>
      </c>
      <c r="F15" s="47">
        <v>453007.73</v>
      </c>
      <c r="G15" s="14">
        <f>Assumptions!$B$14+Assumptions!$B$15*D15+Assumptions!$B$16*F15+Assumptions!$B$17*E15</f>
        <v>104968.2289</v>
      </c>
      <c r="H15" s="15">
        <f>Assumptions!$B$21+Assumptions!$B$22*E15</f>
        <v>281.6473</v>
      </c>
      <c r="I15" s="67">
        <f>Assumptions!$B$6</f>
        <v>0.0675</v>
      </c>
      <c r="J15" s="67">
        <f>Assumptions!$B$7</f>
        <v>13.75</v>
      </c>
      <c r="K15" s="68">
        <f>D15*Assumptions!$B$8</f>
        <v>30</v>
      </c>
      <c r="L15" s="68">
        <f t="shared" ref="L15:M15" si="26">G15*I15</f>
        <v>7085.355453</v>
      </c>
      <c r="M15" s="68">
        <f t="shared" si="26"/>
        <v>3872.650375</v>
      </c>
      <c r="N15" s="68">
        <f t="shared" ref="N15:O15" si="27">S15</f>
        <v>-597.186081</v>
      </c>
      <c r="O15" s="68">
        <f t="shared" si="27"/>
        <v>0</v>
      </c>
      <c r="P15" s="68">
        <f t="shared" si="6"/>
        <v>10390.81975</v>
      </c>
      <c r="Q15" s="68">
        <f>P15*Assumptions!$B$9</f>
        <v>519.5409874</v>
      </c>
      <c r="R15" s="68">
        <f t="shared" si="7"/>
        <v>10910.36073</v>
      </c>
      <c r="S15" s="69">
        <v>-597.186081</v>
      </c>
      <c r="T15" s="69">
        <v>0.0</v>
      </c>
      <c r="U15" s="76"/>
      <c r="V15" s="76"/>
      <c r="W15" s="76"/>
    </row>
    <row r="16" ht="16.5" customHeight="1">
      <c r="A16" s="39">
        <v>12.0</v>
      </c>
      <c r="B16" s="72">
        <v>46354.0</v>
      </c>
      <c r="C16" s="72">
        <v>46385.0</v>
      </c>
      <c r="D16" s="49">
        <f t="shared" si="3"/>
        <v>32</v>
      </c>
      <c r="E16" s="51">
        <v>0.0</v>
      </c>
      <c r="F16" s="50">
        <v>545891.19</v>
      </c>
      <c r="G16" s="19">
        <f>Assumptions!$B$14+Assumptions!$B$15*D16+Assumptions!$B$16*F16+Assumptions!$B$17*E16</f>
        <v>121207.7792</v>
      </c>
      <c r="H16" s="20">
        <f>Assumptions!$B$21+Assumptions!$B$22*E16</f>
        <v>281.6473</v>
      </c>
      <c r="I16" s="73">
        <f>Assumptions!$B$6</f>
        <v>0.0675</v>
      </c>
      <c r="J16" s="73">
        <f>Assumptions!$B$7</f>
        <v>13.75</v>
      </c>
      <c r="K16" s="74">
        <f>D16*Assumptions!$B$8</f>
        <v>32</v>
      </c>
      <c r="L16" s="74">
        <f t="shared" ref="L16:M16" si="28">G16*I16</f>
        <v>8181.525097</v>
      </c>
      <c r="M16" s="74">
        <f t="shared" si="28"/>
        <v>3872.650375</v>
      </c>
      <c r="N16" s="74">
        <f t="shared" ref="N16:O16" si="29">S16</f>
        <v>-548.337006</v>
      </c>
      <c r="O16" s="74">
        <f t="shared" si="29"/>
        <v>0</v>
      </c>
      <c r="P16" s="74">
        <f t="shared" si="6"/>
        <v>11537.83847</v>
      </c>
      <c r="Q16" s="74">
        <f>P16*Assumptions!$B$9</f>
        <v>576.8919233</v>
      </c>
      <c r="R16" s="74">
        <f t="shared" si="7"/>
        <v>12114.73039</v>
      </c>
      <c r="S16" s="75">
        <v>-548.337006</v>
      </c>
      <c r="T16" s="75">
        <v>0.0</v>
      </c>
      <c r="U16" s="77"/>
      <c r="V16" s="77"/>
      <c r="W16" s="77"/>
    </row>
    <row r="17" ht="21.75" customHeight="1">
      <c r="A17" s="27" t="s">
        <v>104</v>
      </c>
      <c r="B17" s="28"/>
      <c r="C17" s="28"/>
      <c r="D17" s="28"/>
      <c r="E17" s="29"/>
      <c r="F17" s="57">
        <f t="shared" ref="F17:G17" si="30">SUM(F5:F16)</f>
        <v>6458849.93</v>
      </c>
      <c r="G17" s="57">
        <f t="shared" si="30"/>
        <v>1407524.068</v>
      </c>
      <c r="H17" s="30">
        <f t="shared" ref="H17:J17" si="31">AVERAGE(H5:H16)</f>
        <v>290.6315333</v>
      </c>
      <c r="I17" s="30">
        <f t="shared" si="31"/>
        <v>0.0675</v>
      </c>
      <c r="J17" s="30">
        <f t="shared" si="31"/>
        <v>13.75</v>
      </c>
      <c r="K17" s="31">
        <f t="shared" ref="K17:R17" si="32">SUM(K5:K16)</f>
        <v>364</v>
      </c>
      <c r="L17" s="31">
        <f t="shared" si="32"/>
        <v>95007.87462</v>
      </c>
      <c r="M17" s="31">
        <f t="shared" si="32"/>
        <v>47954.203</v>
      </c>
      <c r="N17" s="31">
        <f t="shared" si="32"/>
        <v>-6699.834153</v>
      </c>
      <c r="O17" s="31">
        <f t="shared" si="32"/>
        <v>-1616.93</v>
      </c>
      <c r="P17" s="31">
        <f t="shared" si="32"/>
        <v>135009.3135</v>
      </c>
      <c r="Q17" s="31">
        <f t="shared" si="32"/>
        <v>6750.465673</v>
      </c>
      <c r="R17" s="31">
        <f t="shared" si="32"/>
        <v>141759.7791</v>
      </c>
      <c r="S17" s="58"/>
      <c r="T17" s="58"/>
      <c r="U17" s="83"/>
      <c r="V17" s="83"/>
      <c r="W17" s="8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T1"/>
    <mergeCell ref="A2:T2"/>
    <mergeCell ref="A3:F3"/>
    <mergeCell ref="G3:H3"/>
    <mergeCell ref="I3:J3"/>
    <mergeCell ref="K3:O3"/>
    <mergeCell ref="S3:T3"/>
    <mergeCell ref="A17:E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2026-04-01T21:25:09Z</dcterms:created>
  <dc:creator>openpyxl</dc:creator>
</cp:coreProperties>
</file>